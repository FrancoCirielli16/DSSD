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93CCDC12-9C59-4FB9-8760-9A84F18F8575}" xr6:coauthVersionLast="47" xr6:coauthVersionMax="47" xr10:uidLastSave="{00000000-0000-0000-0000-000000000000}"/>
  <bookViews>
    <workbookView xWindow="-120" yWindow="-120" windowWidth="20730" windowHeight="11040" xr2:uid="{DB916BEA-B5B8-4F65-B127-3CF20602B9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D4" i="1"/>
  <c r="D5" i="1"/>
  <c r="D6" i="1"/>
  <c r="D7" i="1"/>
  <c r="D8" i="1"/>
  <c r="D9" i="1"/>
  <c r="D10" i="1"/>
  <c r="D11" i="1"/>
  <c r="D12" i="1"/>
  <c r="D13" i="1"/>
  <c r="D3" i="1"/>
</calcChain>
</file>

<file path=xl/sharedStrings.xml><?xml version="1.0" encoding="utf-8"?>
<sst xmlns="http://schemas.openxmlformats.org/spreadsheetml/2006/main" count="17" uniqueCount="17">
  <si>
    <t>Actividad</t>
  </si>
  <si>
    <t>Inicio</t>
  </si>
  <si>
    <t>Dias</t>
  </si>
  <si>
    <t>Final</t>
  </si>
  <si>
    <t>Levantar postgresSQL dockerizado y docker compose del entorno local</t>
  </si>
  <si>
    <t>Esqueleto del proyecto (Backend y frontend) routing base y convencion de ideas</t>
  </si>
  <si>
    <t>Modelo de datos y migraciones, emergencia, lote, oferta, ong, municipio, usuario</t>
  </si>
  <si>
    <t xml:space="preserve">Dar de alta usuarios - Login y sesion </t>
  </si>
  <si>
    <t>Desarrollar endpoints /api/emergencias</t>
  </si>
  <si>
    <t>Seteo de variables en la api de bonita</t>
  </si>
  <si>
    <t>Desarrollo de pantalla de generacion y publicacion de lotes</t>
  </si>
  <si>
    <t>Endpoints de lotes (POST y GET) y publicacion de la convocatoria</t>
  </si>
  <si>
    <t>Formulario basico de carga de ofertas (ONG) con detalle de recursos</t>
  </si>
  <si>
    <t>Endpoints de ofertas (POST y PUT) con trazabilidad de versiones</t>
  </si>
  <si>
    <t>Manejo de errores de la api de bonita</t>
  </si>
  <si>
    <t>Fecha inicio</t>
  </si>
  <si>
    <t>Fecha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</si>
</sst>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Diagrama</a:t>
            </a:r>
            <a:r>
              <a:rPr lang="es-AR" baseline="0"/>
              <a:t> de Gantt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Hoja1!$B$3:$B$13</c:f>
              <c:strCache>
                <c:ptCount val="11"/>
                <c:pt idx="0">
                  <c:v>Levantar postgresSQL dockerizado y docker compose del entorno local</c:v>
                </c:pt>
                <c:pt idx="1">
                  <c:v>Esqueleto del proyecto (Backend y frontend) routing base y convencion de ideas</c:v>
                </c:pt>
                <c:pt idx="2">
                  <c:v>Modelo de datos y migraciones, emergencia, lote, oferta, ong, municipio, usuario</c:v>
                </c:pt>
                <c:pt idx="3">
                  <c:v>Dar de alta usuarios - Login y sesion </c:v>
                </c:pt>
                <c:pt idx="4">
                  <c:v>Desarrollar endpoints /api/emergencias</c:v>
                </c:pt>
                <c:pt idx="5">
                  <c:v>Seteo de variables en la api de bonita</c:v>
                </c:pt>
                <c:pt idx="6">
                  <c:v>Desarrollo de pantalla de generacion y publicacion de lotes</c:v>
                </c:pt>
                <c:pt idx="7">
                  <c:v>Endpoints de lotes (POST y GET) y publicacion de la convocatoria</c:v>
                </c:pt>
                <c:pt idx="8">
                  <c:v>Formulario basico de carga de ofertas (ONG) con detalle de recursos</c:v>
                </c:pt>
                <c:pt idx="9">
                  <c:v>Endpoints de ofertas (POST y PUT) con trazabilidad de versiones</c:v>
                </c:pt>
                <c:pt idx="10">
                  <c:v>Manejo de errores de la api de bonita</c:v>
                </c:pt>
              </c:strCache>
            </c:strRef>
          </c:cat>
          <c:val>
            <c:numRef>
              <c:f>Hoja1!$C$3:$C$13</c:f>
              <c:numCache>
                <c:formatCode>m/d/yyyy</c:formatCode>
                <c:ptCount val="11"/>
                <c:pt idx="0">
                  <c:v>46279</c:v>
                </c:pt>
                <c:pt idx="1">
                  <c:v>46280</c:v>
                </c:pt>
                <c:pt idx="2">
                  <c:v>46280</c:v>
                </c:pt>
                <c:pt idx="3">
                  <c:v>46281</c:v>
                </c:pt>
                <c:pt idx="4">
                  <c:v>46283</c:v>
                </c:pt>
                <c:pt idx="5">
                  <c:v>46283</c:v>
                </c:pt>
                <c:pt idx="6">
                  <c:v>46285</c:v>
                </c:pt>
                <c:pt idx="7">
                  <c:v>46288</c:v>
                </c:pt>
                <c:pt idx="8">
                  <c:v>46291</c:v>
                </c:pt>
                <c:pt idx="9">
                  <c:v>46293</c:v>
                </c:pt>
                <c:pt idx="10">
                  <c:v>46293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8-42D6-8DAA-AD416438A66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Hoja1!$B$3:$B$13</c:f>
              <c:strCache>
                <c:ptCount val="11"/>
                <c:pt idx="0">
                  <c:v>Levantar postgresSQL dockerizado y docker compose del entorno local</c:v>
                </c:pt>
                <c:pt idx="1">
                  <c:v>Esqueleto del proyecto (Backend y frontend) routing base y convencion de ideas</c:v>
                </c:pt>
                <c:pt idx="2">
                  <c:v>Modelo de datos y migraciones, emergencia, lote, oferta, ong, municipio, usuario</c:v>
                </c:pt>
                <c:pt idx="3">
                  <c:v>Dar de alta usuarios - Login y sesion </c:v>
                </c:pt>
                <c:pt idx="4">
                  <c:v>Desarrollar endpoints /api/emergencias</c:v>
                </c:pt>
                <c:pt idx="5">
                  <c:v>Seteo de variables en la api de bonita</c:v>
                </c:pt>
                <c:pt idx="6">
                  <c:v>Desarrollo de pantalla de generacion y publicacion de lotes</c:v>
                </c:pt>
                <c:pt idx="7">
                  <c:v>Endpoints de lotes (POST y GET) y publicacion de la convocatoria</c:v>
                </c:pt>
                <c:pt idx="8">
                  <c:v>Formulario basico de carga de ofertas (ONG) con detalle de recursos</c:v>
                </c:pt>
                <c:pt idx="9">
                  <c:v>Endpoints de ofertas (POST y PUT) con trazabilidad de versiones</c:v>
                </c:pt>
                <c:pt idx="10">
                  <c:v>Manejo de errores de la api de bonita</c:v>
                </c:pt>
              </c:strCache>
            </c:strRef>
          </c:cat>
          <c:val>
            <c:numRef>
              <c:f>Hoja1!$D$3:$D$13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8-42D6-8DAA-AD416438A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2928016"/>
        <c:axId val="862926576"/>
      </c:barChart>
      <c:catAx>
        <c:axId val="8629280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2926576"/>
        <c:crosses val="autoZero"/>
        <c:auto val="1"/>
        <c:lblAlgn val="ctr"/>
        <c:lblOffset val="100"/>
        <c:noMultiLvlLbl val="0"/>
      </c:catAx>
      <c:valAx>
        <c:axId val="862926576"/>
        <c:scaling>
          <c:orientation val="minMax"/>
          <c:max val="46296"/>
          <c:min val="4627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292801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657223</xdr:colOff>
      <xdr:row>3</xdr:row>
      <xdr:rowOff>119062</xdr:rowOff>
    </xdr:from>
    <xdr:to>
      <xdr:col>18</xdr:col>
      <xdr:colOff>619125</xdr:colOff>
      <xdr:row>25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6440018-9B0B-22F9-40F1-1443767F8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15F1-6EE2-4476-9537-0E7D812ABB13}">
  <dimension ref="B2:G19"/>
  <sheetViews>
    <sheetView tabSelected="1" topLeftCell="A2" workbookViewId="0">
      <selection activeCell="F7" sqref="F7"/>
    </sheetView>
  </sheetViews>
  <sheetFormatPr baseColWidth="10" defaultRowHeight="15" x14ac:dyDescent="0.25"/>
  <cols>
    <col min="2" max="2" width="72" customWidth="1"/>
    <col min="3" max="3" width="17.85546875" customWidth="1"/>
    <col min="4" max="4" width="13.85546875" customWidth="1"/>
    <col min="5" max="5" width="18.28515625" customWidth="1"/>
  </cols>
  <sheetData>
    <row r="2" spans="2:7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7" ht="27.75" customHeight="1" x14ac:dyDescent="0.25">
      <c r="B3" s="1" t="s">
        <v>4</v>
      </c>
      <c r="C3" s="3">
        <v>46279</v>
      </c>
      <c r="D3" s="4">
        <f>E3-C3</f>
        <v>2</v>
      </c>
      <c r="E3" s="3">
        <v>46281</v>
      </c>
    </row>
    <row r="4" spans="2:7" x14ac:dyDescent="0.25">
      <c r="B4" s="1" t="s">
        <v>5</v>
      </c>
      <c r="C4" s="3">
        <v>46280</v>
      </c>
      <c r="D4" s="4">
        <f t="shared" ref="D4:D13" si="0">E4-C4</f>
        <v>2</v>
      </c>
      <c r="E4" s="3">
        <v>46282</v>
      </c>
    </row>
    <row r="5" spans="2:7" x14ac:dyDescent="0.25">
      <c r="B5" s="1" t="s">
        <v>6</v>
      </c>
      <c r="C5" s="3">
        <v>46280</v>
      </c>
      <c r="D5" s="4">
        <f t="shared" si="0"/>
        <v>2</v>
      </c>
      <c r="E5" s="3">
        <v>46282</v>
      </c>
    </row>
    <row r="6" spans="2:7" x14ac:dyDescent="0.25">
      <c r="B6" s="1" t="s">
        <v>7</v>
      </c>
      <c r="C6" s="3">
        <v>46281</v>
      </c>
      <c r="D6" s="4">
        <f t="shared" si="0"/>
        <v>3</v>
      </c>
      <c r="E6" s="3">
        <v>46284</v>
      </c>
    </row>
    <row r="7" spans="2:7" x14ac:dyDescent="0.25">
      <c r="B7" s="1" t="s">
        <v>8</v>
      </c>
      <c r="C7" s="3">
        <v>46283</v>
      </c>
      <c r="D7" s="4">
        <f t="shared" si="0"/>
        <v>3</v>
      </c>
      <c r="E7" s="3">
        <v>46286</v>
      </c>
    </row>
    <row r="8" spans="2:7" x14ac:dyDescent="0.25">
      <c r="B8" s="1" t="s">
        <v>9</v>
      </c>
      <c r="C8" s="3">
        <v>46283</v>
      </c>
      <c r="D8" s="4">
        <f t="shared" si="0"/>
        <v>3</v>
      </c>
      <c r="E8" s="3">
        <v>46286</v>
      </c>
    </row>
    <row r="9" spans="2:7" x14ac:dyDescent="0.25">
      <c r="B9" s="1" t="s">
        <v>10</v>
      </c>
      <c r="C9" s="3">
        <v>46285</v>
      </c>
      <c r="D9" s="4">
        <f t="shared" si="0"/>
        <v>3</v>
      </c>
      <c r="E9" s="3">
        <v>46288</v>
      </c>
    </row>
    <row r="10" spans="2:7" x14ac:dyDescent="0.25">
      <c r="B10" s="1" t="s">
        <v>11</v>
      </c>
      <c r="C10" s="3">
        <v>46288</v>
      </c>
      <c r="D10" s="4">
        <f t="shared" si="0"/>
        <v>4</v>
      </c>
      <c r="E10" s="3">
        <v>46292</v>
      </c>
    </row>
    <row r="11" spans="2:7" x14ac:dyDescent="0.25">
      <c r="B11" s="1" t="s">
        <v>12</v>
      </c>
      <c r="C11" s="3">
        <v>46291</v>
      </c>
      <c r="D11" s="4">
        <f t="shared" si="0"/>
        <v>2</v>
      </c>
      <c r="E11" s="3">
        <v>46293</v>
      </c>
    </row>
    <row r="12" spans="2:7" x14ac:dyDescent="0.25">
      <c r="B12" s="1" t="s">
        <v>13</v>
      </c>
      <c r="C12" s="3">
        <v>46293</v>
      </c>
      <c r="D12" s="4">
        <f t="shared" si="0"/>
        <v>3</v>
      </c>
      <c r="E12" s="3">
        <v>46296</v>
      </c>
    </row>
    <row r="13" spans="2:7" x14ac:dyDescent="0.25">
      <c r="B13" s="1" t="s">
        <v>14</v>
      </c>
      <c r="C13" s="3">
        <v>46293</v>
      </c>
      <c r="D13" s="4">
        <f t="shared" si="0"/>
        <v>3</v>
      </c>
      <c r="E13" s="3">
        <v>46296</v>
      </c>
      <c r="G13" s="3"/>
    </row>
    <row r="18" spans="2:3" x14ac:dyDescent="0.25">
      <c r="B18" t="s">
        <v>15</v>
      </c>
      <c r="C18" s="5">
        <f>MIN(C3:C13)</f>
        <v>46279</v>
      </c>
    </row>
    <row r="19" spans="2:3" x14ac:dyDescent="0.25">
      <c r="B19" t="s">
        <v>16</v>
      </c>
      <c r="C19" s="5">
        <f>MAX(E3:E13)</f>
        <v>46296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viscardi robles</dc:creator>
  <cp:lastModifiedBy>franco viscardi robles</cp:lastModifiedBy>
  <dcterms:created xsi:type="dcterms:W3CDTF">2026-09-03T02:36:17Z</dcterms:created>
  <dcterms:modified xsi:type="dcterms:W3CDTF">2026-09-03T22:52:29Z</dcterms:modified>
</cp:coreProperties>
</file>